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s\FuelGasCalculator\"/>
    </mc:Choice>
  </mc:AlternateContent>
  <xr:revisionPtr revIDLastSave="0" documentId="13_ncr:1_{E67F786A-32E1-4850-9536-7B58837E8F05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Basic Data" sheetId="1" r:id="rId1"/>
    <sheet name="Initial Composition" sheetId="2" r:id="rId2"/>
  </sheets>
  <definedNames>
    <definedName name="UNI_AA_VERSION" hidden="1">"320.2.3"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2" l="1"/>
  <c r="A22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1" i="2"/>
</calcChain>
</file>

<file path=xl/sharedStrings.xml><?xml version="1.0" encoding="utf-8"?>
<sst xmlns="http://schemas.openxmlformats.org/spreadsheetml/2006/main" count="26" uniqueCount="26">
  <si>
    <t>Component</t>
  </si>
  <si>
    <t>H2S</t>
  </si>
  <si>
    <t>H2</t>
  </si>
  <si>
    <t>O2</t>
  </si>
  <si>
    <t>N2</t>
  </si>
  <si>
    <t>CO2</t>
  </si>
  <si>
    <t>CO</t>
  </si>
  <si>
    <t>C1</t>
  </si>
  <si>
    <t>C2</t>
  </si>
  <si>
    <t>C2'</t>
  </si>
  <si>
    <t>C3</t>
  </si>
  <si>
    <t>C3'</t>
  </si>
  <si>
    <t>iC4</t>
  </si>
  <si>
    <t>nC4</t>
  </si>
  <si>
    <t>T-2-Butene</t>
  </si>
  <si>
    <t>1-Butene</t>
  </si>
  <si>
    <t>Isobutylene</t>
  </si>
  <si>
    <t>C-2-Butene</t>
  </si>
  <si>
    <t>iC5</t>
  </si>
  <si>
    <t>nC5</t>
  </si>
  <si>
    <t>C6+</t>
  </si>
  <si>
    <t>1,3-Butadiene</t>
  </si>
  <si>
    <t>MW,gm/mol</t>
  </si>
  <si>
    <t>NCV,kcal/kg</t>
  </si>
  <si>
    <t>GCV,kcal/kg</t>
  </si>
  <si>
    <t>Composition, Vol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</si>
</sst>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D32" sqref="D32"/>
    </sheetView>
  </sheetViews>
  <sheetFormatPr defaultRowHeight="15" x14ac:dyDescent="0.25"/>
  <cols>
    <col min="1" max="4" width="22.85546875" customWidth="1"/>
  </cols>
  <sheetData>
    <row r="1" spans="1:4" x14ac:dyDescent="0.25">
      <c r="A1" t="s">
        <v>0</v>
      </c>
      <c r="B1" s="1" t="s">
        <v>22</v>
      </c>
      <c r="C1" s="1" t="s">
        <v>23</v>
      </c>
      <c r="D1" s="1" t="s">
        <v>24</v>
      </c>
    </row>
    <row r="2" spans="1:4" x14ac:dyDescent="0.25">
      <c r="A2" t="s">
        <v>1</v>
      </c>
      <c r="B2">
        <v>34.08</v>
      </c>
      <c r="C2">
        <v>3630</v>
      </c>
      <c r="D2">
        <v>4000</v>
      </c>
    </row>
    <row r="3" spans="1:4" x14ac:dyDescent="0.25">
      <c r="A3" t="s">
        <v>2</v>
      </c>
      <c r="B3">
        <v>2.016</v>
      </c>
      <c r="C3">
        <v>28573</v>
      </c>
      <c r="D3">
        <v>34200</v>
      </c>
    </row>
    <row r="4" spans="1:4" x14ac:dyDescent="0.25">
      <c r="A4" t="s">
        <v>3</v>
      </c>
      <c r="B4">
        <v>31.998999999999999</v>
      </c>
      <c r="C4">
        <v>0</v>
      </c>
      <c r="D4">
        <v>0</v>
      </c>
    </row>
    <row r="5" spans="1:4" x14ac:dyDescent="0.25">
      <c r="A5" t="s">
        <v>4</v>
      </c>
      <c r="B5">
        <v>28.013000000000002</v>
      </c>
      <c r="C5">
        <v>0</v>
      </c>
      <c r="D5">
        <v>0</v>
      </c>
    </row>
    <row r="6" spans="1:4" x14ac:dyDescent="0.25">
      <c r="A6" t="s">
        <v>5</v>
      </c>
      <c r="B6">
        <v>44.01</v>
      </c>
      <c r="C6">
        <v>0</v>
      </c>
      <c r="D6">
        <v>0</v>
      </c>
    </row>
    <row r="7" spans="1:4" x14ac:dyDescent="0.25">
      <c r="A7" t="s">
        <v>6</v>
      </c>
      <c r="B7">
        <v>28.018000000000001</v>
      </c>
      <c r="C7">
        <v>2416</v>
      </c>
      <c r="D7">
        <v>3020</v>
      </c>
    </row>
    <row r="8" spans="1:4" x14ac:dyDescent="0.25">
      <c r="A8" t="s">
        <v>7</v>
      </c>
      <c r="B8">
        <v>16.042999999999999</v>
      </c>
      <c r="C8">
        <v>11943</v>
      </c>
      <c r="D8">
        <v>13290</v>
      </c>
    </row>
    <row r="9" spans="1:4" x14ac:dyDescent="0.25">
      <c r="A9" t="s">
        <v>8</v>
      </c>
      <c r="B9">
        <v>30.07</v>
      </c>
      <c r="C9">
        <v>11348</v>
      </c>
      <c r="D9">
        <v>12460</v>
      </c>
    </row>
    <row r="10" spans="1:4" x14ac:dyDescent="0.25">
      <c r="A10" t="s">
        <v>9</v>
      </c>
      <c r="B10">
        <v>28.053999999999998</v>
      </c>
      <c r="C10">
        <v>11267</v>
      </c>
      <c r="D10">
        <v>11950</v>
      </c>
    </row>
    <row r="11" spans="1:4" x14ac:dyDescent="0.25">
      <c r="A11" t="s">
        <v>10</v>
      </c>
      <c r="B11">
        <v>44.097000000000001</v>
      </c>
      <c r="C11">
        <v>11066</v>
      </c>
      <c r="D11">
        <v>12160</v>
      </c>
    </row>
    <row r="12" spans="1:4" x14ac:dyDescent="0.25">
      <c r="A12" t="s">
        <v>11</v>
      </c>
      <c r="B12">
        <v>42.081000000000003</v>
      </c>
      <c r="C12">
        <v>10930</v>
      </c>
      <c r="D12">
        <v>11670</v>
      </c>
    </row>
    <row r="13" spans="1:4" x14ac:dyDescent="0.25">
      <c r="A13" t="s">
        <v>12</v>
      </c>
      <c r="B13">
        <v>58.124000000000002</v>
      </c>
      <c r="C13">
        <v>10886</v>
      </c>
      <c r="D13">
        <v>11910</v>
      </c>
    </row>
    <row r="14" spans="1:4" x14ac:dyDescent="0.25">
      <c r="A14" t="s">
        <v>13</v>
      </c>
      <c r="B14">
        <v>58.124000000000002</v>
      </c>
      <c r="C14">
        <v>10920</v>
      </c>
      <c r="D14">
        <v>11850</v>
      </c>
    </row>
    <row r="15" spans="1:4" x14ac:dyDescent="0.25">
      <c r="A15" t="s">
        <v>14</v>
      </c>
      <c r="B15">
        <v>56.107999999999997</v>
      </c>
      <c r="C15">
        <v>10771</v>
      </c>
      <c r="D15">
        <v>11540</v>
      </c>
    </row>
    <row r="16" spans="1:4" x14ac:dyDescent="0.25">
      <c r="A16" t="s">
        <v>15</v>
      </c>
      <c r="B16">
        <v>56.107999999999997</v>
      </c>
      <c r="C16">
        <v>10816</v>
      </c>
      <c r="D16">
        <v>11590</v>
      </c>
    </row>
    <row r="17" spans="1:4" x14ac:dyDescent="0.25">
      <c r="A17" t="s">
        <v>16</v>
      </c>
      <c r="B17">
        <v>56.107999999999997</v>
      </c>
      <c r="C17">
        <v>10771</v>
      </c>
      <c r="D17">
        <v>11540</v>
      </c>
    </row>
    <row r="18" spans="1:4" x14ac:dyDescent="0.25">
      <c r="A18" t="s">
        <v>17</v>
      </c>
      <c r="B18">
        <v>56.107999999999997</v>
      </c>
      <c r="C18">
        <v>10745</v>
      </c>
      <c r="D18">
        <v>11520</v>
      </c>
    </row>
    <row r="19" spans="1:4" x14ac:dyDescent="0.25">
      <c r="A19" t="s">
        <v>18</v>
      </c>
      <c r="B19">
        <v>72.150999999999996</v>
      </c>
      <c r="C19">
        <v>10724</v>
      </c>
      <c r="D19">
        <v>11760</v>
      </c>
    </row>
    <row r="20" spans="1:4" x14ac:dyDescent="0.25">
      <c r="A20" t="s">
        <v>19</v>
      </c>
      <c r="B20">
        <v>72.150999999999996</v>
      </c>
      <c r="C20">
        <v>10741</v>
      </c>
      <c r="D20">
        <v>11730</v>
      </c>
    </row>
    <row r="21" spans="1:4" x14ac:dyDescent="0.25">
      <c r="A21" t="s">
        <v>20</v>
      </c>
      <c r="B21">
        <v>86</v>
      </c>
      <c r="C21">
        <v>10700</v>
      </c>
      <c r="D21">
        <v>11600</v>
      </c>
    </row>
    <row r="22" spans="1:4" x14ac:dyDescent="0.25">
      <c r="A22" t="s">
        <v>21</v>
      </c>
      <c r="B22">
        <v>54.091999999999999</v>
      </c>
      <c r="C22">
        <v>10500</v>
      </c>
      <c r="D22">
        <v>11250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8ECF-C486-4D1E-9775-700733D41CF0}">
  <dimension ref="A1:B22"/>
  <sheetViews>
    <sheetView tabSelected="1" workbookViewId="0">
      <selection activeCell="F21" sqref="F21"/>
    </sheetView>
  </sheetViews>
  <sheetFormatPr defaultRowHeight="15" x14ac:dyDescent="0.25"/>
  <cols>
    <col min="1" max="1" width="15" customWidth="1"/>
    <col min="2" max="2" width="18.140625" style="2" bestFit="1" customWidth="1"/>
  </cols>
  <sheetData>
    <row r="1" spans="1:2" x14ac:dyDescent="0.25">
      <c r="A1" t="str">
        <f>'Basic Data'!A1</f>
        <v>Component</v>
      </c>
      <c r="B1" s="2" t="s">
        <v>25</v>
      </c>
    </row>
    <row r="2" spans="1:2" x14ac:dyDescent="0.25">
      <c r="A2" t="str">
        <f>'Basic Data'!A2</f>
        <v>H2S</v>
      </c>
      <c r="B2" s="2">
        <v>0.01</v>
      </c>
    </row>
    <row r="3" spans="1:2" x14ac:dyDescent="0.25">
      <c r="A3" t="str">
        <f>'Basic Data'!A3</f>
        <v>H2</v>
      </c>
      <c r="B3" s="2">
        <v>22.56</v>
      </c>
    </row>
    <row r="4" spans="1:2" x14ac:dyDescent="0.25">
      <c r="A4" t="str">
        <f>'Basic Data'!A4</f>
        <v>O2</v>
      </c>
      <c r="B4" s="2">
        <v>0.61</v>
      </c>
    </row>
    <row r="5" spans="1:2" x14ac:dyDescent="0.25">
      <c r="A5" t="str">
        <f>'Basic Data'!A5</f>
        <v>N2</v>
      </c>
      <c r="B5" s="2">
        <v>15.02</v>
      </c>
    </row>
    <row r="6" spans="1:2" x14ac:dyDescent="0.25">
      <c r="A6" t="str">
        <f>'Basic Data'!A6</f>
        <v>CO2</v>
      </c>
      <c r="B6" s="2">
        <v>0.24</v>
      </c>
    </row>
    <row r="7" spans="1:2" x14ac:dyDescent="0.25">
      <c r="A7" t="str">
        <f>'Basic Data'!A7</f>
        <v>CO</v>
      </c>
      <c r="B7" s="2">
        <v>0.86</v>
      </c>
    </row>
    <row r="8" spans="1:2" x14ac:dyDescent="0.25">
      <c r="A8" t="str">
        <f>'Basic Data'!A8</f>
        <v>C1</v>
      </c>
      <c r="B8" s="2">
        <v>30.3</v>
      </c>
    </row>
    <row r="9" spans="1:2" x14ac:dyDescent="0.25">
      <c r="A9" t="str">
        <f>'Basic Data'!A9</f>
        <v>C2</v>
      </c>
      <c r="B9" s="2">
        <v>11.48</v>
      </c>
    </row>
    <row r="10" spans="1:2" x14ac:dyDescent="0.25">
      <c r="A10" t="str">
        <f>'Basic Data'!A10</f>
        <v>C2'</v>
      </c>
      <c r="B10" s="2">
        <v>16.43</v>
      </c>
    </row>
    <row r="11" spans="1:2" x14ac:dyDescent="0.25">
      <c r="A11" t="str">
        <f>'Basic Data'!A11</f>
        <v>C3</v>
      </c>
      <c r="B11" s="2">
        <v>0.42</v>
      </c>
    </row>
    <row r="12" spans="1:2" x14ac:dyDescent="0.25">
      <c r="A12" t="str">
        <f>'Basic Data'!A12</f>
        <v>C3'</v>
      </c>
      <c r="B12" s="2">
        <v>1.54</v>
      </c>
    </row>
    <row r="13" spans="1:2" x14ac:dyDescent="0.25">
      <c r="A13" t="str">
        <f>'Basic Data'!A13</f>
        <v>iC4</v>
      </c>
      <c r="B13" s="2">
        <v>0.31</v>
      </c>
    </row>
    <row r="14" spans="1:2" x14ac:dyDescent="0.25">
      <c r="A14" t="str">
        <f>'Basic Data'!A14</f>
        <v>nC4</v>
      </c>
      <c r="B14" s="2">
        <v>0.03</v>
      </c>
    </row>
    <row r="15" spans="1:2" x14ac:dyDescent="0.25">
      <c r="A15" t="str">
        <f>'Basic Data'!A15</f>
        <v>T-2-Butene</v>
      </c>
      <c r="B15" s="2">
        <v>0.03</v>
      </c>
    </row>
    <row r="16" spans="1:2" x14ac:dyDescent="0.25">
      <c r="A16" t="str">
        <f>'Basic Data'!A16</f>
        <v>1-Butene</v>
      </c>
      <c r="B16" s="2">
        <v>0.03</v>
      </c>
    </row>
    <row r="17" spans="1:2" x14ac:dyDescent="0.25">
      <c r="A17" t="str">
        <f>'Basic Data'!A17</f>
        <v>Isobutylene</v>
      </c>
      <c r="B17" s="2">
        <v>0.04</v>
      </c>
    </row>
    <row r="18" spans="1:2" x14ac:dyDescent="0.25">
      <c r="A18" t="str">
        <f>'Basic Data'!A18</f>
        <v>C-2-Butene</v>
      </c>
      <c r="B18" s="2">
        <v>0.03</v>
      </c>
    </row>
    <row r="19" spans="1:2" x14ac:dyDescent="0.25">
      <c r="A19" t="str">
        <f>'Basic Data'!A19</f>
        <v>iC5</v>
      </c>
      <c r="B19" s="2">
        <v>0.04</v>
      </c>
    </row>
    <row r="20" spans="1:2" x14ac:dyDescent="0.25">
      <c r="A20" t="str">
        <f>'Basic Data'!A20</f>
        <v>nC5</v>
      </c>
      <c r="B20" s="2">
        <v>0</v>
      </c>
    </row>
    <row r="21" spans="1:2" x14ac:dyDescent="0.25">
      <c r="A21" t="str">
        <f>'Basic Data'!A21</f>
        <v>C6+</v>
      </c>
      <c r="B21" s="2">
        <v>0.02</v>
      </c>
    </row>
    <row r="22" spans="1:2" x14ac:dyDescent="0.25">
      <c r="A22" t="str">
        <f>'Basic Data'!A22</f>
        <v>1,3-Butadiene</v>
      </c>
      <c r="B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</vt:lpstr>
      <vt:lpstr>Initial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ANAND, ANKIT (आनन्द, अंकित)</dc:creator>
  <cp:lastModifiedBy>ANAND, ANKIT (आनन्द, अंकित)</cp:lastModifiedBy>
  <dcterms:created xsi:type="dcterms:W3CDTF">2015-06-05T18:17:20Z</dcterms:created>
  <dcterms:modified xsi:type="dcterms:W3CDTF">2026-06-18T03:51:45Z</dcterms:modified>
</cp:coreProperties>
</file>